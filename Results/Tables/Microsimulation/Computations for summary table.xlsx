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ose\Desktop\Thesis\Finished\Tables\Microsimulation\"/>
    </mc:Choice>
  </mc:AlternateContent>
  <xr:revisionPtr revIDLastSave="0" documentId="13_ncr:1_{D46E239F-D3BC-4852-A362-D4774202C4F8}" xr6:coauthVersionLast="47" xr6:coauthVersionMax="47" xr10:uidLastSave="{00000000-0000-0000-0000-000000000000}"/>
  <bookViews>
    <workbookView xWindow="-108" yWindow="-108" windowWidth="23256" windowHeight="13176" xr2:uid="{3BA6A642-838E-4C3A-A0D8-3389DDA672C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E22" i="1"/>
  <c r="F22" i="1"/>
  <c r="G22" i="1"/>
  <c r="H22" i="1"/>
  <c r="I22" i="1"/>
  <c r="J22" i="1"/>
  <c r="K22" i="1"/>
  <c r="L22" i="1"/>
  <c r="C22" i="1"/>
  <c r="D23" i="1"/>
  <c r="C23" i="1"/>
  <c r="E23" i="1"/>
  <c r="F23" i="1"/>
  <c r="G23" i="1"/>
  <c r="H23" i="1"/>
  <c r="I23" i="1"/>
  <c r="J23" i="1"/>
  <c r="K23" i="1"/>
  <c r="L23" i="1"/>
  <c r="K21" i="1"/>
  <c r="D21" i="1"/>
  <c r="C21" i="1"/>
  <c r="E21" i="1"/>
  <c r="F21" i="1"/>
  <c r="G21" i="1"/>
  <c r="H21" i="1"/>
  <c r="I21" i="1"/>
  <c r="J21" i="1"/>
  <c r="L21" i="1"/>
  <c r="E20" i="1"/>
  <c r="F20" i="1"/>
  <c r="G20" i="1"/>
  <c r="H20" i="1"/>
  <c r="I20" i="1"/>
  <c r="J20" i="1"/>
  <c r="K20" i="1"/>
  <c r="L20" i="1"/>
  <c r="C20" i="1"/>
  <c r="D20" i="1"/>
</calcChain>
</file>

<file path=xl/sharedStrings.xml><?xml version="1.0" encoding="utf-8"?>
<sst xmlns="http://schemas.openxmlformats.org/spreadsheetml/2006/main" count="99" uniqueCount="79">
  <si>
    <t>.84843259</t>
  </si>
  <si>
    <t>.7965831</t>
  </si>
  <si>
    <t>.93888792</t>
  </si>
  <si>
    <t>.15156738</t>
  </si>
  <si>
    <t>.2034169</t>
  </si>
  <si>
    <t>.64650828</t>
  </si>
  <si>
    <t>.61908447</t>
  </si>
  <si>
    <t>Belgium A</t>
  </si>
  <si>
    <t>Belgium B</t>
  </si>
  <si>
    <t>.798471</t>
  </si>
  <si>
    <t>.94111308</t>
  </si>
  <si>
    <t>.201529</t>
  </si>
  <si>
    <t>.64353586</t>
  </si>
  <si>
    <t>.62140914</t>
  </si>
  <si>
    <t>Ecuador</t>
  </si>
  <si>
    <t>.79067653</t>
  </si>
  <si>
    <t>.93192617</t>
  </si>
  <si>
    <t>.20932347</t>
  </si>
  <si>
    <t>.65623969</t>
  </si>
  <si>
    <t>.62054364</t>
  </si>
  <si>
    <t>Finland</t>
  </si>
  <si>
    <t>France A</t>
  </si>
  <si>
    <t>France B</t>
  </si>
  <si>
    <t>Japan</t>
  </si>
  <si>
    <t>South Korea A</t>
  </si>
  <si>
    <t>South Korea B</t>
  </si>
  <si>
    <t>Spain</t>
  </si>
  <si>
    <t>.79725843</t>
  </si>
  <si>
    <t>.93968389</t>
  </si>
  <si>
    <t>.20274157</t>
  </si>
  <si>
    <t>.6454381</t>
  </si>
  <si>
    <t>.62723896</t>
  </si>
  <si>
    <t>.7944497</t>
  </si>
  <si>
    <t>.93637339</t>
  </si>
  <si>
    <t>.2055503</t>
  </si>
  <si>
    <t>.64993886</t>
  </si>
  <si>
    <t>.61831858</t>
  </si>
  <si>
    <t>.79854936</t>
  </si>
  <si>
    <t>.94120543</t>
  </si>
  <si>
    <t>.20145064</t>
  </si>
  <si>
    <t>.64341395</t>
  </si>
  <si>
    <t>.61898176</t>
  </si>
  <si>
    <t>.79186905</t>
  </si>
  <si>
    <t>.93333172</t>
  </si>
  <si>
    <t>.20813095</t>
  </si>
  <si>
    <t>.65420924</t>
  </si>
  <si>
    <t>.61497066</t>
  </si>
  <si>
    <t>.79054196</t>
  </si>
  <si>
    <t>.93176756</t>
  </si>
  <si>
    <t>.20945804</t>
  </si>
  <si>
    <t>.65647126</t>
  </si>
  <si>
    <t>.61624703</t>
  </si>
  <si>
    <t>.7880445</t>
  </si>
  <si>
    <t>.92882394</t>
  </si>
  <si>
    <t>.2119555</t>
  </si>
  <si>
    <t>.6609056</t>
  </si>
  <si>
    <t>.6196336</t>
  </si>
  <si>
    <t>.80451894</t>
  </si>
  <si>
    <t>.94824144</t>
  </si>
  <si>
    <t>.19548106</t>
  </si>
  <si>
    <t>.63439319</t>
  </si>
  <si>
    <t>.62861308</t>
  </si>
  <si>
    <t>Baseline</t>
  </si>
  <si>
    <t>.78636498</t>
  </si>
  <si>
    <t>.92684439</t>
  </si>
  <si>
    <t>.21363502</t>
  </si>
  <si>
    <t>.66412768</t>
  </si>
  <si>
    <t>.62246568</t>
  </si>
  <si>
    <t>Variable</t>
  </si>
  <si>
    <t>Add. Revenue</t>
  </si>
  <si>
    <t>Lump-Sum</t>
  </si>
  <si>
    <t>Gini</t>
  </si>
  <si>
    <t>GE(2)</t>
  </si>
  <si>
    <t>GE_W</t>
  </si>
  <si>
    <t>GE_B</t>
  </si>
  <si>
    <t>% Change in Gini</t>
  </si>
  <si>
    <t>% Change in GE(2)</t>
  </si>
  <si>
    <t>% Change in GE_W</t>
  </si>
  <si>
    <t>% Change in GE_B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</si>
</sst>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9" formatCode="0.0000"/>
    <numFmt numFmtId="185" formatCode="0.0000000000"/>
    <numFmt numFmtId="186" formatCode="0.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185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86" fontId="0" fillId="0" borderId="1" xfId="0" applyNumberFormat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0" fillId="2" borderId="1" xfId="0" applyFill="1" applyBorder="1"/>
    <xf numFmtId="185" fontId="0" fillId="0" borderId="1" xfId="0" applyNumberFormat="1" applyBorder="1" applyAlignment="1">
      <alignment horizontal="center" vertical="center"/>
    </xf>
    <xf numFmtId="0" fontId="0" fillId="0" borderId="1" xfId="0" applyBorder="1"/>
    <xf numFmtId="179" fontId="0" fillId="0" borderId="1" xfId="0" applyNumberForma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44758-3C1C-4A3A-9770-67F0274BD638}">
  <dimension ref="A1:L23"/>
  <sheetViews>
    <sheetView tabSelected="1" topLeftCell="G1" workbookViewId="0">
      <selection activeCell="N23" sqref="N23"/>
    </sheetView>
  </sheetViews>
  <sheetFormatPr defaultRowHeight="14.4" x14ac:dyDescent="0.3"/>
  <cols>
    <col min="1" max="1" width="11.88671875" bestFit="1" customWidth="1"/>
    <col min="2" max="2" width="30.77734375" customWidth="1"/>
    <col min="3" max="3" width="44.109375" customWidth="1"/>
    <col min="4" max="4" width="25.33203125" customWidth="1"/>
    <col min="5" max="11" width="26" bestFit="1" customWidth="1"/>
    <col min="12" max="12" width="27" bestFit="1" customWidth="1"/>
  </cols>
  <sheetData>
    <row r="1" spans="1:12" x14ac:dyDescent="0.3">
      <c r="A1" t="s">
        <v>68</v>
      </c>
      <c r="B1" s="1" t="s">
        <v>62</v>
      </c>
      <c r="C1" s="1" t="s">
        <v>7</v>
      </c>
      <c r="D1" s="1" t="s">
        <v>8</v>
      </c>
      <c r="E1" s="1" t="s">
        <v>14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 s="8" customFormat="1" x14ac:dyDescent="0.3">
      <c r="A2" s="6" t="s">
        <v>69</v>
      </c>
      <c r="B2" s="7"/>
      <c r="C2" s="7">
        <v>75810000000000</v>
      </c>
      <c r="D2" s="7">
        <v>89820000000000</v>
      </c>
      <c r="E2" s="7">
        <v>31990000000000</v>
      </c>
      <c r="F2" s="7">
        <v>80830000000000</v>
      </c>
      <c r="G2" s="7">
        <v>59990000000000</v>
      </c>
      <c r="H2" s="7">
        <v>90400000000000</v>
      </c>
      <c r="I2" s="7">
        <v>40840000000000</v>
      </c>
      <c r="J2" s="7">
        <v>30990000000000</v>
      </c>
      <c r="K2" s="7">
        <v>12460000000000</v>
      </c>
      <c r="L2" s="7">
        <v>134700000000000</v>
      </c>
    </row>
    <row r="3" spans="1:12" s="8" customFormat="1" x14ac:dyDescent="0.3">
      <c r="A3" s="6" t="s">
        <v>70</v>
      </c>
      <c r="B3" s="7"/>
      <c r="C3" s="7">
        <v>30322348</v>
      </c>
      <c r="D3" s="7">
        <v>35924704</v>
      </c>
      <c r="E3" s="7">
        <v>12794556</v>
      </c>
      <c r="F3" s="7">
        <v>32326388</v>
      </c>
      <c r="G3" s="7">
        <v>23991447</v>
      </c>
      <c r="H3" s="7">
        <v>36157225</v>
      </c>
      <c r="I3" s="7">
        <v>16333348</v>
      </c>
      <c r="J3" s="7">
        <v>12395225</v>
      </c>
      <c r="K3" s="7">
        <v>4983977</v>
      </c>
      <c r="L3" s="7">
        <v>53872005</v>
      </c>
    </row>
    <row r="4" spans="1:12" s="8" customFormat="1" x14ac:dyDescent="0.3">
      <c r="A4" s="6" t="s">
        <v>71</v>
      </c>
      <c r="B4" s="9">
        <v>0.65926119999999999</v>
      </c>
      <c r="C4" s="9">
        <v>0.64380046999999996</v>
      </c>
      <c r="D4" s="9">
        <v>0.64163002000000002</v>
      </c>
      <c r="E4" s="9">
        <v>0.65235527999999998</v>
      </c>
      <c r="F4" s="9">
        <v>0.64426015999999997</v>
      </c>
      <c r="G4" s="9">
        <v>0.64661473999999997</v>
      </c>
      <c r="H4" s="9">
        <v>0.64111686999999995</v>
      </c>
      <c r="I4" s="9">
        <v>0.64970850000000002</v>
      </c>
      <c r="J4" s="9">
        <v>0.65184061999999998</v>
      </c>
      <c r="K4" s="9">
        <v>0.65613613999999998</v>
      </c>
      <c r="L4" s="9">
        <v>0.63492970000000004</v>
      </c>
    </row>
    <row r="5" spans="1:12" x14ac:dyDescent="0.3">
      <c r="A5" t="s">
        <v>72</v>
      </c>
      <c r="B5" s="2">
        <v>6.9551315999999996</v>
      </c>
      <c r="C5" s="2">
        <v>6.8534677999999998</v>
      </c>
      <c r="D5" s="2">
        <v>6.8492120999999999</v>
      </c>
      <c r="E5" s="2">
        <v>6.9063068000000003</v>
      </c>
      <c r="F5" s="2">
        <v>6.8848544</v>
      </c>
      <c r="G5" s="2">
        <v>6.8644020000000001</v>
      </c>
      <c r="H5" s="2">
        <v>6.8302595000000004</v>
      </c>
      <c r="I5" s="2">
        <v>6.8463716999999997</v>
      </c>
      <c r="J5" s="2">
        <v>6.8593571999999998</v>
      </c>
      <c r="K5" s="2">
        <v>6.8908621999999999</v>
      </c>
      <c r="L5" s="2">
        <v>6.8107024999999997</v>
      </c>
    </row>
    <row r="6" spans="1:12" x14ac:dyDescent="0.3"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</row>
    <row r="7" spans="1:12" x14ac:dyDescent="0.3">
      <c r="B7" s="2" t="s">
        <v>63</v>
      </c>
      <c r="C7" s="2" t="s">
        <v>1</v>
      </c>
      <c r="D7" s="2" t="s">
        <v>9</v>
      </c>
      <c r="E7" s="2" t="s">
        <v>15</v>
      </c>
      <c r="F7" s="2" t="s">
        <v>27</v>
      </c>
      <c r="G7" s="2" t="s">
        <v>32</v>
      </c>
      <c r="H7" s="2" t="s">
        <v>37</v>
      </c>
      <c r="I7" s="2" t="s">
        <v>42</v>
      </c>
      <c r="J7" s="2" t="s">
        <v>47</v>
      </c>
      <c r="K7" s="2" t="s">
        <v>52</v>
      </c>
      <c r="L7" s="2" t="s">
        <v>57</v>
      </c>
    </row>
    <row r="8" spans="1:12" x14ac:dyDescent="0.3">
      <c r="B8" s="2" t="s">
        <v>64</v>
      </c>
      <c r="C8" s="2" t="s">
        <v>2</v>
      </c>
      <c r="D8" s="2" t="s">
        <v>10</v>
      </c>
      <c r="E8" s="2" t="s">
        <v>16</v>
      </c>
      <c r="F8" s="2" t="s">
        <v>28</v>
      </c>
      <c r="G8" s="2" t="s">
        <v>33</v>
      </c>
      <c r="H8" s="2" t="s">
        <v>38</v>
      </c>
      <c r="I8" s="2" t="s">
        <v>43</v>
      </c>
      <c r="J8" s="2" t="s">
        <v>48</v>
      </c>
      <c r="K8" s="2" t="s">
        <v>53</v>
      </c>
      <c r="L8" s="2" t="s">
        <v>58</v>
      </c>
    </row>
    <row r="9" spans="1:12" x14ac:dyDescent="0.3">
      <c r="B9" s="2" t="s">
        <v>3</v>
      </c>
      <c r="C9" s="2" t="s">
        <v>3</v>
      </c>
      <c r="D9" s="2" t="s">
        <v>3</v>
      </c>
      <c r="E9" s="2" t="s">
        <v>3</v>
      </c>
      <c r="F9" s="2" t="s">
        <v>3</v>
      </c>
      <c r="G9" s="2" t="s">
        <v>3</v>
      </c>
      <c r="H9" s="2" t="s">
        <v>3</v>
      </c>
      <c r="I9" s="2" t="s">
        <v>3</v>
      </c>
      <c r="J9" s="2" t="s">
        <v>3</v>
      </c>
      <c r="K9" s="2" t="s">
        <v>3</v>
      </c>
      <c r="L9" s="2" t="s">
        <v>3</v>
      </c>
    </row>
    <row r="10" spans="1:12" x14ac:dyDescent="0.3">
      <c r="B10" s="2" t="s">
        <v>65</v>
      </c>
      <c r="C10" s="2" t="s">
        <v>4</v>
      </c>
      <c r="D10" s="2" t="s">
        <v>11</v>
      </c>
      <c r="E10" s="2" t="s">
        <v>17</v>
      </c>
      <c r="F10" s="2" t="s">
        <v>29</v>
      </c>
      <c r="G10" s="2" t="s">
        <v>34</v>
      </c>
      <c r="H10" s="2" t="s">
        <v>39</v>
      </c>
      <c r="I10" s="2" t="s">
        <v>44</v>
      </c>
      <c r="J10" s="2" t="s">
        <v>49</v>
      </c>
      <c r="K10" s="2" t="s">
        <v>54</v>
      </c>
      <c r="L10" s="2" t="s">
        <v>59</v>
      </c>
    </row>
    <row r="11" spans="1:12" x14ac:dyDescent="0.3">
      <c r="B11" s="2">
        <v>14095053</v>
      </c>
      <c r="C11" s="2">
        <v>13420889</v>
      </c>
      <c r="D11" s="2">
        <v>13296331</v>
      </c>
      <c r="E11" s="2">
        <v>13810589</v>
      </c>
      <c r="F11" s="2">
        <v>13376333</v>
      </c>
      <c r="G11" s="2">
        <v>13561646</v>
      </c>
      <c r="H11" s="2">
        <v>13291161</v>
      </c>
      <c r="I11" s="2">
        <v>1373191</v>
      </c>
      <c r="J11" s="2">
        <v>13819467</v>
      </c>
      <c r="K11" s="2">
        <v>13984243</v>
      </c>
      <c r="L11" s="2">
        <v>12897304</v>
      </c>
    </row>
    <row r="12" spans="1:12" x14ac:dyDescent="0.3">
      <c r="B12" s="2" t="s">
        <v>66</v>
      </c>
      <c r="C12" s="2" t="s">
        <v>5</v>
      </c>
      <c r="D12" s="2" t="s">
        <v>12</v>
      </c>
      <c r="E12" s="2" t="s">
        <v>18</v>
      </c>
      <c r="F12" s="2" t="s">
        <v>30</v>
      </c>
      <c r="G12" s="2" t="s">
        <v>35</v>
      </c>
      <c r="H12" s="2" t="s">
        <v>40</v>
      </c>
      <c r="I12" s="2" t="s">
        <v>45</v>
      </c>
      <c r="J12" s="2" t="s">
        <v>50</v>
      </c>
      <c r="K12" s="2" t="s">
        <v>55</v>
      </c>
      <c r="L12" s="2" t="s">
        <v>60</v>
      </c>
    </row>
    <row r="13" spans="1:12" x14ac:dyDescent="0.3">
      <c r="B13" s="2" t="s">
        <v>67</v>
      </c>
      <c r="C13" s="2" t="s">
        <v>6</v>
      </c>
      <c r="D13" s="2" t="s">
        <v>13</v>
      </c>
      <c r="E13" s="2" t="s">
        <v>19</v>
      </c>
      <c r="F13" s="2" t="s">
        <v>31</v>
      </c>
      <c r="G13" s="2" t="s">
        <v>36</v>
      </c>
      <c r="H13" s="2" t="s">
        <v>41</v>
      </c>
      <c r="I13" s="2" t="s">
        <v>46</v>
      </c>
      <c r="J13" s="2" t="s">
        <v>51</v>
      </c>
      <c r="K13" s="2" t="s">
        <v>56</v>
      </c>
      <c r="L13" s="2" t="s">
        <v>61</v>
      </c>
    </row>
    <row r="14" spans="1:12" x14ac:dyDescent="0.3">
      <c r="A14" t="s">
        <v>73</v>
      </c>
      <c r="B14" s="2">
        <v>6.9401529999999996</v>
      </c>
      <c r="C14" s="2">
        <v>6.8430150000000003</v>
      </c>
      <c r="D14" s="2">
        <v>6.8395067000000003</v>
      </c>
      <c r="E14" s="2">
        <v>6.8933369000000004</v>
      </c>
      <c r="F14" s="2">
        <v>6.8746722</v>
      </c>
      <c r="G14" s="2">
        <v>6.8530714000000001</v>
      </c>
      <c r="H14" s="2">
        <v>6.8205846000000001</v>
      </c>
      <c r="I14" s="2">
        <v>6.8339318999999996</v>
      </c>
      <c r="J14" s="2">
        <v>6.8463267999999999</v>
      </c>
      <c r="K14" s="2">
        <v>6.8766832000000004</v>
      </c>
      <c r="L14" s="2">
        <v>6.8032045999999999</v>
      </c>
    </row>
    <row r="15" spans="1:12" x14ac:dyDescent="0.3">
      <c r="A15" t="s">
        <v>74</v>
      </c>
      <c r="B15" s="2">
        <v>1.497884E-2</v>
      </c>
      <c r="C15" s="2">
        <v>1.0452919999999999E-2</v>
      </c>
      <c r="D15" s="2">
        <v>9.7055800000000001E-3</v>
      </c>
      <c r="E15" s="2">
        <v>1.297011E-2</v>
      </c>
      <c r="F15" s="2">
        <v>1.0182399999999999E-2</v>
      </c>
      <c r="G15" s="2">
        <v>1.133081E-2</v>
      </c>
      <c r="H15" s="2">
        <v>9.6751600000000004E-3</v>
      </c>
      <c r="I15" s="2">
        <v>1.2440039999999999E-2</v>
      </c>
      <c r="J15" s="2">
        <v>1.303061E-2</v>
      </c>
      <c r="K15" s="2">
        <v>1.417917E-2</v>
      </c>
      <c r="L15" s="2">
        <v>7.49805E-3</v>
      </c>
    </row>
    <row r="20" spans="2:12" x14ac:dyDescent="0.3">
      <c r="B20" s="3" t="s">
        <v>75</v>
      </c>
      <c r="C20" s="4">
        <f>((C4-$B$4)/$B$4)*100</f>
        <v>-2.3451600063829079</v>
      </c>
      <c r="D20" s="4">
        <f>((D4-$B$4)/$B$4)*100</f>
        <v>-2.6743845990026367</v>
      </c>
      <c r="E20" s="4">
        <f t="shared" ref="E20:L20" si="0">((E4-$B$4)/$B$4)*100</f>
        <v>-1.0475241072885844</v>
      </c>
      <c r="F20" s="4">
        <f t="shared" si="0"/>
        <v>-2.2754319532227929</v>
      </c>
      <c r="G20" s="4">
        <f t="shared" si="0"/>
        <v>-1.9182776113625413</v>
      </c>
      <c r="H20" s="4">
        <f t="shared" si="0"/>
        <v>-2.7522217294146905</v>
      </c>
      <c r="I20" s="4">
        <f t="shared" si="0"/>
        <v>-1.4490007905819378</v>
      </c>
      <c r="J20" s="4">
        <f t="shared" si="0"/>
        <v>-1.1255902819701826</v>
      </c>
      <c r="K20" s="4">
        <f t="shared" si="0"/>
        <v>-0.47402455961309609</v>
      </c>
      <c r="L20" s="4">
        <f t="shared" si="0"/>
        <v>-3.6907222812445131</v>
      </c>
    </row>
    <row r="21" spans="2:12" x14ac:dyDescent="0.3">
      <c r="B21" s="3" t="s">
        <v>76</v>
      </c>
      <c r="C21" s="4">
        <f>((C5-$B$5)/$B$5)*100</f>
        <v>-1.4617092220081052</v>
      </c>
      <c r="D21" s="4">
        <f>((D5-$B$5)/$B$5)*100</f>
        <v>-1.522897136842094</v>
      </c>
      <c r="E21" s="4">
        <f t="shared" ref="E21:L21" si="1">((E5-$B$5)/$B$5)*100</f>
        <v>-0.70199678177188396</v>
      </c>
      <c r="F21" s="4">
        <f t="shared" si="1"/>
        <v>-1.0104366680854693</v>
      </c>
      <c r="G21" s="4">
        <f t="shared" si="1"/>
        <v>-1.3044986812327106</v>
      </c>
      <c r="H21" s="4">
        <f t="shared" si="1"/>
        <v>-1.7953952158144537</v>
      </c>
      <c r="I21" s="4">
        <f t="shared" si="1"/>
        <v>-1.5637360477837676</v>
      </c>
      <c r="J21" s="4">
        <f t="shared" si="1"/>
        <v>-1.3770321757822643</v>
      </c>
      <c r="K21" s="4">
        <f>((K5-$B$5)/$B$5)*100</f>
        <v>-0.92405728167673651</v>
      </c>
      <c r="L21" s="4">
        <f t="shared" si="1"/>
        <v>-2.0765832813285661</v>
      </c>
    </row>
    <row r="22" spans="2:12" x14ac:dyDescent="0.3">
      <c r="B22" s="3" t="s">
        <v>78</v>
      </c>
      <c r="C22" s="4">
        <f>((C15-$B$15)/$B$15)*100</f>
        <v>-30.215423891302674</v>
      </c>
      <c r="D22" s="4">
        <f>((D15-$B$15)/$B$15)*100</f>
        <v>-35.204728804099652</v>
      </c>
      <c r="E22" s="4">
        <f>((E15-$B$15)/$B$15)*100</f>
        <v>-13.410451009557484</v>
      </c>
      <c r="F22" s="4">
        <f>((F15-$B$15)/$B$15)*100</f>
        <v>-32.021438242213691</v>
      </c>
      <c r="G22" s="4">
        <f>((G15-$B$15)/$B$15)*100</f>
        <v>-24.354556160557159</v>
      </c>
      <c r="H22" s="4">
        <f>((H15-$B$15)/$B$15)*100</f>
        <v>-35.407815291437785</v>
      </c>
      <c r="I22" s="4">
        <f>((I15-$B$15)/$B$15)*100</f>
        <v>-16.949243065551141</v>
      </c>
      <c r="J22" s="4">
        <f>((J15-$B$15)/$B$15)*100</f>
        <v>-13.00654790357598</v>
      </c>
      <c r="K22" s="4">
        <f>((K15-$B$15)/$B$15)*100</f>
        <v>-5.3386644092599997</v>
      </c>
      <c r="L22" s="4">
        <f>((L15-$B$15)/$B$15)*100</f>
        <v>-49.942385391659165</v>
      </c>
    </row>
    <row r="23" spans="2:12" x14ac:dyDescent="0.3">
      <c r="B23" s="5" t="s">
        <v>77</v>
      </c>
      <c r="C23" s="4">
        <f>((C14-$B$14)/$B$14)*100</f>
        <v>-1.3996521402337858</v>
      </c>
      <c r="D23" s="4">
        <f>((D14-$B$14)/$B$14)*100</f>
        <v>-1.4502028989850699</v>
      </c>
      <c r="E23" s="4">
        <f>((E14-$B$14)/$B$14)*100</f>
        <v>-0.67456870187154583</v>
      </c>
      <c r="F23" s="4">
        <f>((F14-$B$14)/$B$14)*100</f>
        <v>-0.94350657687229045</v>
      </c>
      <c r="G23" s="4">
        <f>((G14-$B$14)/$B$14)*100</f>
        <v>-1.2547504356171892</v>
      </c>
      <c r="H23" s="4">
        <f>((H14-$B$14)/$B$14)*100</f>
        <v>-1.722849625937634</v>
      </c>
      <c r="I23" s="4">
        <f>((I14-$B$14)/$B$14)*100</f>
        <v>-1.5305296583519119</v>
      </c>
      <c r="J23" s="4">
        <f>((J14-$B$14)/$B$14)*100</f>
        <v>-1.3519327311660081</v>
      </c>
      <c r="K23" s="4">
        <f>((K14-$B$14)/$B$14)*100</f>
        <v>-0.91453027044215218</v>
      </c>
      <c r="L23" s="4">
        <f>((L14-$B$14)/$B$14)*100</f>
        <v>-1.973276381659016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Sebastiani</dc:creator>
  <cp:lastModifiedBy>Paolo Sebastiani</cp:lastModifiedBy>
  <dcterms:created xsi:type="dcterms:W3CDTF">2025-10-01T17:08:06Z</dcterms:created>
  <dcterms:modified xsi:type="dcterms:W3CDTF">2025-10-01T18:00:15Z</dcterms:modified>
</cp:coreProperties>
</file>